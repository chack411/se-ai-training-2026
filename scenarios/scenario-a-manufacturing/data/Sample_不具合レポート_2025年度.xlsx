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xr:revisionPtr revIDLastSave="1" documentId="11_2843C19F705CD83715CFAF5B90692DE7FAB1AE3C" xr6:coauthVersionLast="47" xr6:coauthVersionMax="47" xr10:uidLastSave="{70FFA977-B821-4E70-924E-6CAE3C870B49}"/>
  <bookViews>
    <workbookView xWindow="0" yWindow="0" windowWidth="0" windowHeight="0" xr2:uid="{00000000-000D-0000-FFFF-FFFF00000000}"/>
  </bookViews>
  <sheets>
    <sheet name="2025年4月〜9月" sheetId="1" r:id="rId1"/>
    <sheet name="集計" sheetId="2" r:id="rId2"/>
  </sheets>
  <definedNames>
    <definedName name="_xlnm._FilterDatabase" localSheetId="0" hidden="1">'2025年4月〜9月'!$A$1:$Q$31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2" l="1"/>
  <c r="B40" i="2"/>
  <c r="B39" i="2"/>
  <c r="B38" i="2"/>
  <c r="B34" i="2"/>
  <c r="B33" i="2"/>
  <c r="B32" i="2"/>
  <c r="B31" i="2"/>
  <c r="B27" i="2"/>
  <c r="B26" i="2"/>
  <c r="B25" i="2"/>
  <c r="B20" i="2"/>
  <c r="B19" i="2"/>
  <c r="B18" i="2"/>
  <c r="B17" i="2"/>
  <c r="B16" i="2"/>
  <c r="B15" i="2"/>
  <c r="B21" i="2" s="1"/>
  <c r="B10" i="2"/>
  <c r="B9" i="2"/>
  <c r="B8" i="2"/>
  <c r="B7" i="2"/>
  <c r="B6" i="2"/>
  <c r="B5" i="2"/>
  <c r="B11" i="2" l="1"/>
  <c r="C5" i="2"/>
  <c r="C6" i="2" s="1"/>
  <c r="C7" i="2" s="1"/>
  <c r="C8" i="2" s="1"/>
  <c r="C9" i="2" s="1"/>
  <c r="C10" i="2" s="1"/>
  <c r="C34" i="2" l="1"/>
  <c r="C33" i="2"/>
  <c r="C32" i="2"/>
  <c r="C31" i="2"/>
  <c r="C27" i="2"/>
  <c r="C26" i="2"/>
  <c r="C25" i="2"/>
  <c r="C20" i="2"/>
  <c r="C19" i="2"/>
  <c r="C18" i="2"/>
  <c r="C17" i="2"/>
  <c r="C16" i="2"/>
  <c r="C15" i="2"/>
  <c r="C21" i="2" s="1"/>
</calcChain>
</file>

<file path=xl/sharedStrings.xml><?xml version="1.0" encoding="utf-8"?>
<sst xmlns="http://schemas.openxmlformats.org/spreadsheetml/2006/main" count="468" uniqueCount="224">
  <si>
    <t>管理番号</t>
  </si>
  <si>
    <t>発生日</t>
  </si>
  <si>
    <t>製造ライン</t>
  </si>
  <si>
    <t>製品型番</t>
  </si>
  <si>
    <t>製品名</t>
  </si>
  <si>
    <t>不具合内容</t>
  </si>
  <si>
    <t>不具合分類</t>
  </si>
  <si>
    <t>重大度</t>
  </si>
  <si>
    <t>発見工程</t>
  </si>
  <si>
    <t>原因分類</t>
  </si>
  <si>
    <t>原因詳細</t>
  </si>
  <si>
    <t>是正処置</t>
  </si>
  <si>
    <t>担当者</t>
  </si>
  <si>
    <t>ステータス</t>
  </si>
  <si>
    <t>完了日</t>
  </si>
  <si>
    <t>分析所要日数</t>
  </si>
  <si>
    <t>備考</t>
  </si>
  <si>
    <t>QR-2025-0001</t>
  </si>
  <si>
    <t>L1</t>
  </si>
  <si>
    <t>BC-7701</t>
  </si>
  <si>
    <t>ブレーキキャリパー7701</t>
  </si>
  <si>
    <t>キャリパーボディ内径がφ57.05mmで上限公差超過（規格：φ57.00±0.03mm）</t>
  </si>
  <si>
    <t>寸法不良</t>
  </si>
  <si>
    <t>B</t>
  </si>
  <si>
    <t>最終検査</t>
  </si>
  <si>
    <t>設備要因</t>
  </si>
  <si>
    <t>圧入治具の摩耗により位置決め精度が低下、内径加工時の芯ずれが発生</t>
  </si>
  <si>
    <t>治具の交換と定期点検頻度を月1回から週1回に変更</t>
  </si>
  <si>
    <t>田中一郎</t>
  </si>
  <si>
    <t>対策完了</t>
  </si>
  <si>
    <t>同一治具で連続3件発生</t>
  </si>
  <si>
    <t>QR-2025-0002</t>
  </si>
  <si>
    <t>L2</t>
  </si>
  <si>
    <t>BC-7702</t>
  </si>
  <si>
    <t>ブレーキキャリパー7702</t>
  </si>
  <si>
    <t>ピストン摺動面にφ0.5mmの打痕を確認、外観検査で検出</t>
  </si>
  <si>
    <t>表面キズ</t>
  </si>
  <si>
    <t>人的要因</t>
  </si>
  <si>
    <t>組立作業者がピストン取扱い時に工具と接触させた</t>
  </si>
  <si>
    <t>ピストン専用保持具の導入と取扱い手順書の改訂</t>
  </si>
  <si>
    <t>鈴木花子</t>
  </si>
  <si>
    <t>QR-2025-0003</t>
  </si>
  <si>
    <t>キャリパーボディ内径がφ57.04mmで上限公差超過（規格：φ57.00±0.03mm）</t>
  </si>
  <si>
    <t>圧入治具の摩耗が進行し、加工基準面の平行度が0.02mm低下</t>
  </si>
  <si>
    <t>治具の全数交換を実施、摩耗管理基準値を新設</t>
  </si>
  <si>
    <t>QR-2025-0001と同一原因</t>
  </si>
  <si>
    <t>QR-2025-0004</t>
  </si>
  <si>
    <t>L3</t>
  </si>
  <si>
    <t>BD-5500</t>
  </si>
  <si>
    <t>ブレーキディスク5500</t>
  </si>
  <si>
    <t>ディスク表面粗さRa1.8μm（規格：Ra1.6以下）、研磨工程で基準未達</t>
  </si>
  <si>
    <t>C</t>
  </si>
  <si>
    <t>研磨ホイールの目詰まりにより切削性能が低下</t>
  </si>
  <si>
    <t>研磨ホイール交換サイクルを500個から300個に短縮</t>
  </si>
  <si>
    <t>高橋修</t>
  </si>
  <si>
    <t>QR-2025-0005</t>
  </si>
  <si>
    <t>BC-7703</t>
  </si>
  <si>
    <t>ブレーキキャリパー7703</t>
  </si>
  <si>
    <t>気密検査にて0.02MPaの圧力降下検出（許容値：0.01MPa以下）</t>
  </si>
  <si>
    <t>気密不良</t>
  </si>
  <si>
    <t>A</t>
  </si>
  <si>
    <t>材料要因</t>
  </si>
  <si>
    <t>シール材のロット不良により硬度が規格外（HS72、規格：HS65±3）</t>
  </si>
  <si>
    <t>該当ロットの全数交換、受入検査に硬度試験を追加</t>
  </si>
  <si>
    <t>渡辺美咲</t>
  </si>
  <si>
    <t>シール材メーカーへ改善要求書発行</t>
  </si>
  <si>
    <t>QR-2025-0006</t>
  </si>
  <si>
    <t>キャリパーボディ内径がφ57.06mmで上限公差超過、連続発生</t>
  </si>
  <si>
    <t>受入検査</t>
  </si>
  <si>
    <t>治具交換後も摩耗が早期に進行、治具材質の硬度不足が判明</t>
  </si>
  <si>
    <t>治具材質をSKD11からSKH51に変更、硬度HRC62以上を規格化</t>
  </si>
  <si>
    <t>治具メーカーと材質仕様を再協議</t>
  </si>
  <si>
    <t>QR-2025-0007</t>
  </si>
  <si>
    <t>L4</t>
  </si>
  <si>
    <t>BP-3300</t>
  </si>
  <si>
    <t>ブレーキパッド3300</t>
  </si>
  <si>
    <t>ブレーキパッド表面に微細クラック（長さ2mm）を確認</t>
  </si>
  <si>
    <t>材料不良</t>
  </si>
  <si>
    <t>摩擦材の焼結温度が規定より15℃高く、熱応力によるクラック発生</t>
  </si>
  <si>
    <t>焼結炉の温度制御パラメータを再校正、温度記録の自動監視導入</t>
  </si>
  <si>
    <t>中村健太</t>
  </si>
  <si>
    <t>QR-2025-0008</t>
  </si>
  <si>
    <t>圧入荷重が10.2kNで上限値超過（規格：8.5±1.5kN）、ボディ内径縮小の疑い</t>
  </si>
  <si>
    <t>組立不良</t>
  </si>
  <si>
    <t>ピストン圧入</t>
  </si>
  <si>
    <t>圧入機のストローク制御センサーのドリフトにより過大荷重が発生</t>
  </si>
  <si>
    <t>センサーの再校正と校正頻度を年1回から半年1回に変更</t>
  </si>
  <si>
    <t>山本理恵</t>
  </si>
  <si>
    <t>QR-2025-0009</t>
  </si>
  <si>
    <t>ボディ外周面に長さ15mmの線状キズを確認</t>
  </si>
  <si>
    <t>搬送時にパレット上の隣接部品と接触</t>
  </si>
  <si>
    <t>パレット仕切り板の追加と搬送手順の見直し</t>
  </si>
  <si>
    <t>小林大輔</t>
  </si>
  <si>
    <t>QR-2025-0010</t>
  </si>
  <si>
    <t>ディスク厚さが24.85mm（規格：25.0±0.1mm）で下限公差超過</t>
  </si>
  <si>
    <t>旋盤の主軸ベアリング摩耗による加工振れの増大</t>
  </si>
  <si>
    <t>主軸ベアリングの交換と振れ測定の日次点検化</t>
  </si>
  <si>
    <t>QR-2025-0011</t>
  </si>
  <si>
    <t>ダストシール取付方向が逆（リップが内向き）、3個連続で発見</t>
  </si>
  <si>
    <t>シール取付</t>
  </si>
  <si>
    <t>新人作業者への教育不足と作業標準書の図解が不明瞭</t>
  </si>
  <si>
    <t>作業標準書の図解改訂、ポカヨケ治具の導入</t>
  </si>
  <si>
    <t>加藤真理</t>
  </si>
  <si>
    <t>教育記録の再整備を実施</t>
  </si>
  <si>
    <t>QR-2025-0012</t>
  </si>
  <si>
    <t>キャリパー塗装面に気泡（φ1mm以上）が5箇所以上確認</t>
  </si>
  <si>
    <t>環境要因</t>
  </si>
  <si>
    <t>塗装ブース内の湿度が85%RHまで上昇し、塗膜に水分混入</t>
  </si>
  <si>
    <t>塗装ブースの除湿機を更新、湿度上限アラーム設定値を75%RHに変更</t>
  </si>
  <si>
    <t>梅雨時期の特別管理手順を策定</t>
  </si>
  <si>
    <t>QR-2025-0013</t>
  </si>
  <si>
    <t>キャリパーボディ穴位置が図面基準から0.08mmずれ（公差：±0.05mm）</t>
  </si>
  <si>
    <t>NCプログラムの座標原点設定にオフセット誤差が蓄積</t>
  </si>
  <si>
    <t>座標原点の自動補正プログラムの導入と毎朝の原点確認を義務化</t>
  </si>
  <si>
    <t>QR-2025-0014</t>
  </si>
  <si>
    <t>パッド厚さが11.2mm（規格：12.0±0.5mm）で下限値を下回る</t>
  </si>
  <si>
    <t>出荷前検査</t>
  </si>
  <si>
    <t>プレス成形機の型締力低下によりパッド成形後の収縮量が増大</t>
  </si>
  <si>
    <t>型締力の再調整と定期計測の実施（月次）</t>
  </si>
  <si>
    <t>QR-2025-0015</t>
  </si>
  <si>
    <t>ディスク外周に深さ0.3mmのバリ残存、面取り不十分</t>
  </si>
  <si>
    <t>面取り工具の刃先摩耗が進行（交換基準の2倍使用）</t>
  </si>
  <si>
    <t>工具寿命管理のカウンタ導入と自動交換アラーム設定</t>
  </si>
  <si>
    <t>QR-2025-0016</t>
  </si>
  <si>
    <t>キャリパーの鋳巣（φ2mm）がボディ肉厚部に確認</t>
  </si>
  <si>
    <t>鋳造メーカーの溶湯管理不備（注湯温度が50℃低い）</t>
  </si>
  <si>
    <t>鋳造メーカーへの緊急監査実施、注湯温度の連続モニタリング要求</t>
  </si>
  <si>
    <t>代替メーカーの評価を開始</t>
  </si>
  <si>
    <t>QR-2025-0017</t>
  </si>
  <si>
    <t>ピストンシール溝の幅が2.55mm（規格：2.50±0.03mm）で上限超過</t>
  </si>
  <si>
    <t>溝加工用バイトのチッピングにより加工幅が拡大</t>
  </si>
  <si>
    <t>バイトの交換と加工後の溝幅全数検査の一時的実施</t>
  </si>
  <si>
    <t>QR-2025-0018</t>
  </si>
  <si>
    <t>パッドとバックプレートの接着強度が15N/mm²（規格：20N/mm²以上）</t>
  </si>
  <si>
    <t>接着剤の保管温度が規格外（35℃、規格：25℃以下）で劣化</t>
  </si>
  <si>
    <t>接着剤保管庫にエアコン設置、温度記録の日次確認を実施</t>
  </si>
  <si>
    <t>夏季の保管基準を新設</t>
  </si>
  <si>
    <t>QR-2025-0019</t>
  </si>
  <si>
    <t>キャリパーボディ内径がφ57.04mmで上限公差付近、傾向管理で検出</t>
  </si>
  <si>
    <t>治具材質変更後も微小な摩耗傾向が確認される（想定範囲内）</t>
  </si>
  <si>
    <t>摩耗量の統計管理を開始、Xbar-R管理図による傾向監視</t>
  </si>
  <si>
    <t>予防的検出、公差内だが傾向監視</t>
  </si>
  <si>
    <t>QR-2025-0020</t>
  </si>
  <si>
    <t>ディスクのベンチレーション穴位置ずれ（0.15mm、公差±0.1mm）</t>
  </si>
  <si>
    <t>ドリル加工機のリニアガイドのバックラッシュ増大</t>
  </si>
  <si>
    <t>リニアガイドの交換と予圧調整、定期バックラッシュ測定の導入</t>
  </si>
  <si>
    <t>効果確認中</t>
  </si>
  <si>
    <t>交換部品納期待ち</t>
  </si>
  <si>
    <t>QR-2025-0021</t>
  </si>
  <si>
    <t>気密検査にて0.015MPaの微小圧力降下検出（許容値：0.01MPa以下）</t>
  </si>
  <si>
    <t>設計要因</t>
  </si>
  <si>
    <t>シール溝の設計寸法と実際のシール材の圧縮率が不整合</t>
  </si>
  <si>
    <t>シール溝深さの設計変更（2.0mm→1.8mm）を検討中</t>
  </si>
  <si>
    <t>対策実施中</t>
  </si>
  <si>
    <t>設計部門と協議中</t>
  </si>
  <si>
    <t>QR-2025-0022</t>
  </si>
  <si>
    <t>キャリパーボディのねじ穴M8のタップ深さ不足（12mm、規格：15mm以上）</t>
  </si>
  <si>
    <t>タップ加工時のZ軸送り設定を作業者が誤入力</t>
  </si>
  <si>
    <t>入力値の自動チェック機能追加と入力画面のUI改善</t>
  </si>
  <si>
    <t>QR-2025-0023</t>
  </si>
  <si>
    <t>パッド摩擦面に異物混入（金属片φ0.8mm）を検出</t>
  </si>
  <si>
    <t>摩擦材原料の篩い工程で目開きが規定より大きいメッシュを使用</t>
  </si>
  <si>
    <t>篩い工程の管理強化、メッシュのロット管理番号による追跡体制構築</t>
  </si>
  <si>
    <t>原料メーカーへ是正要求</t>
  </si>
  <si>
    <t>QR-2025-0024</t>
  </si>
  <si>
    <t>キャリパーの表面処理（アルマイト）膜厚が8μm（規格：10±2μm）</t>
  </si>
  <si>
    <t>アルマイト処理槽の液温が季節変動で2℃低下し膜厚成長速度が低下</t>
  </si>
  <si>
    <t>処理槽のヒーター容量増強と温度制御の精度向上</t>
  </si>
  <si>
    <t>QR-2025-0025</t>
  </si>
  <si>
    <t>ディスク表面にφ3mmの腐食痕を3箇所確認</t>
  </si>
  <si>
    <t>その他</t>
  </si>
  <si>
    <t>中間在庫の保管エリアで防錆処理前に結露が発生</t>
  </si>
  <si>
    <t>中間在庫エリアの除湿対策と防錆油の即時塗布ルール化</t>
  </si>
  <si>
    <t>在庫保管基準を改訂</t>
  </si>
  <si>
    <t>QR-2025-0026</t>
  </si>
  <si>
    <t>キャリパーボディ内径がφ57.035mmで公差上限に接近（規格：φ57.00±0.03mm）</t>
  </si>
  <si>
    <t>加工機の熱変位による寸法変動（午後の加工で寸法が大きくなる傾向）</t>
  </si>
  <si>
    <t>加工機の暖機運転時間を延長、熱変位補正機能の有効化</t>
  </si>
  <si>
    <t>Xbar-R管理図で傾向把握済み</t>
  </si>
  <si>
    <t>QR-2025-0027</t>
  </si>
  <si>
    <t>キャリパーのブリーダースクリュー座面に加工バリ残存</t>
  </si>
  <si>
    <t>バリ取り作業の確認手順をスキップした（作業者自己申告）</t>
  </si>
  <si>
    <t>バリ取り完了の確認サインを作業指示書に追加</t>
  </si>
  <si>
    <t>QR-2025-0028</t>
  </si>
  <si>
    <t>パッドの面取り角度が50°（規格：45±3°）で上限超過</t>
  </si>
  <si>
    <t>面取り加工機の角度設定用ストッパーの固定ボルトが緩み</t>
  </si>
  <si>
    <t>固定ボルトの締付トルク管理と緩み止め処置の実施</t>
  </si>
  <si>
    <t>QR-2025-0029</t>
  </si>
  <si>
    <t>ピストンの外径がφ56.88mm（規格：φ56.94±0.02mm）で下限超過</t>
  </si>
  <si>
    <t>外径研削盤の砥石ドレス量が過大、調査中</t>
  </si>
  <si>
    <t>砥石ドレス条件の見直しと自動測定フィードバック制御の検討</t>
  </si>
  <si>
    <t>原因分析中</t>
  </si>
  <si>
    <t>研削盤メーカーに技術相談中</t>
  </si>
  <si>
    <t>QR-2025-0030</t>
  </si>
  <si>
    <t>キャリパーのシリンダーボア真円度が0.015mm（規格：0.01mm以下）</t>
  </si>
  <si>
    <t>ホーニング加工の砥石偏摩耗により真円度が悪化、原因調査中</t>
  </si>
  <si>
    <t>砥石交換後の効果確認を実施中</t>
  </si>
  <si>
    <t>ホーニング条件の最適化を検討中</t>
  </si>
  <si>
    <t>東洋精密工業株式会社　不具合レポート集計（2025年4月〜9月）</t>
  </si>
  <si>
    <t>■ 月別の不具合件数</t>
  </si>
  <si>
    <t>月</t>
  </si>
  <si>
    <t>件数</t>
  </si>
  <si>
    <t>累計</t>
  </si>
  <si>
    <t>4月</t>
  </si>
  <si>
    <t>5月</t>
  </si>
  <si>
    <t>6月</t>
  </si>
  <si>
    <t>7月</t>
  </si>
  <si>
    <t>8月</t>
  </si>
  <si>
    <t>9月</t>
  </si>
  <si>
    <t>合計</t>
  </si>
  <si>
    <t>■ 不具合分類別の件数と割合</t>
  </si>
  <si>
    <t>割合</t>
  </si>
  <si>
    <t>■ 重大度別の件数</t>
  </si>
  <si>
    <t>A（重大）</t>
  </si>
  <si>
    <t>B（中程度）</t>
  </si>
  <si>
    <t>C（軽微）</t>
  </si>
  <si>
    <t>■ ライン別の件数</t>
  </si>
  <si>
    <t>■ 平均分析所要日数</t>
  </si>
  <si>
    <t>指標</t>
  </si>
  <si>
    <t>日数</t>
  </si>
  <si>
    <t>全体平均</t>
  </si>
  <si>
    <t>最大値</t>
  </si>
  <si>
    <t>最小値</t>
  </si>
  <si>
    <t>中央値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</si>
</sst>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"/>
    <numFmt numFmtId="166" formatCode="0.0%"/>
    <numFmt numFmtId="167" formatCode="0.0"/>
  </numFmts>
  <fonts count="9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color rgb="FF8B6914"/>
      <name val="Arial"/>
    </font>
    <font>
      <sz val="10"/>
      <color rgb="FF006400"/>
      <name val="Arial"/>
    </font>
    <font>
      <b/>
      <sz val="10"/>
      <color rgb="FF8B0000"/>
      <name val="Arial"/>
    </font>
    <font>
      <b/>
      <sz val="14"/>
      <color rgb="FF1F3864"/>
      <name val="Arial"/>
    </font>
    <font>
      <b/>
      <sz val="11"/>
      <color rgb="FF1F3864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E066"/>
      </patternFill>
    </fill>
    <fill>
      <patternFill patternType="solid">
        <fgColor rgb="FF85E085"/>
      </patternFill>
    </fill>
    <fill>
      <patternFill patternType="solid">
        <fgColor rgb="FFFF6B6B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/>
    <xf numFmtId="166" fontId="2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6" fillId="0" borderId="0" xfId="0" applyFont="1" applyAlignment="1"/>
    <xf numFmtId="0" fontId="0" fillId="0" borderId="0" xfId="0" applyAlignment="1"/>
    <xf numFmtId="0" fontId="7" fillId="6" borderId="0" xfId="0" applyFont="1" applyFill="1" applyAlignme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2" customWidth="1"/>
    <col min="3" max="3" width="10" customWidth="1"/>
    <col min="4" max="4" width="12" customWidth="1"/>
    <col min="5" max="5" width="22" customWidth="1"/>
    <col min="6" max="6" width="45" customWidth="1"/>
    <col min="7" max="7" width="10" customWidth="1"/>
    <col min="8" max="8" width="8" customWidth="1"/>
    <col min="9" max="9" width="12" customWidth="1"/>
    <col min="10" max="10" width="10" customWidth="1"/>
    <col min="11" max="12" width="45" customWidth="1"/>
    <col min="13" max="13" width="10" customWidth="1"/>
    <col min="14" max="16" width="12" customWidth="1"/>
    <col min="17" max="17" width="30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45750</v>
      </c>
      <c r="C2" s="2" t="s">
        <v>18</v>
      </c>
      <c r="D2" s="2" t="s">
        <v>19</v>
      </c>
      <c r="E2" s="4" t="s">
        <v>20</v>
      </c>
      <c r="F2" s="4" t="s">
        <v>21</v>
      </c>
      <c r="G2" s="2" t="s">
        <v>22</v>
      </c>
      <c r="H2" s="5" t="s">
        <v>23</v>
      </c>
      <c r="I2" s="2" t="s">
        <v>24</v>
      </c>
      <c r="J2" s="2" t="s">
        <v>25</v>
      </c>
      <c r="K2" s="4" t="s">
        <v>26</v>
      </c>
      <c r="L2" s="4" t="s">
        <v>27</v>
      </c>
      <c r="M2" s="2" t="s">
        <v>28</v>
      </c>
      <c r="N2" s="2" t="s">
        <v>29</v>
      </c>
      <c r="O2" s="3">
        <v>45762</v>
      </c>
      <c r="P2" s="2">
        <v>3</v>
      </c>
      <c r="Q2" s="4" t="s">
        <v>30</v>
      </c>
    </row>
    <row r="3" spans="1:17">
      <c r="A3" s="2" t="s">
        <v>31</v>
      </c>
      <c r="B3" s="3">
        <v>45755</v>
      </c>
      <c r="C3" s="2" t="s">
        <v>32</v>
      </c>
      <c r="D3" s="2" t="s">
        <v>33</v>
      </c>
      <c r="E3" s="4" t="s">
        <v>34</v>
      </c>
      <c r="F3" s="4" t="s">
        <v>35</v>
      </c>
      <c r="G3" s="2" t="s">
        <v>36</v>
      </c>
      <c r="H3" s="5" t="s">
        <v>23</v>
      </c>
      <c r="I3" s="2" t="s">
        <v>24</v>
      </c>
      <c r="J3" s="2" t="s">
        <v>37</v>
      </c>
      <c r="K3" s="4" t="s">
        <v>38</v>
      </c>
      <c r="L3" s="4" t="s">
        <v>39</v>
      </c>
      <c r="M3" s="2" t="s">
        <v>40</v>
      </c>
      <c r="N3" s="2" t="s">
        <v>29</v>
      </c>
      <c r="O3" s="3">
        <v>45769</v>
      </c>
      <c r="P3" s="2">
        <v>2</v>
      </c>
      <c r="Q3" s="4"/>
    </row>
    <row r="4" spans="1:17">
      <c r="A4" s="2" t="s">
        <v>41</v>
      </c>
      <c r="B4" s="3">
        <v>45759</v>
      </c>
      <c r="C4" s="2" t="s">
        <v>18</v>
      </c>
      <c r="D4" s="2" t="s">
        <v>19</v>
      </c>
      <c r="E4" s="4" t="s">
        <v>20</v>
      </c>
      <c r="F4" s="4" t="s">
        <v>42</v>
      </c>
      <c r="G4" s="2" t="s">
        <v>22</v>
      </c>
      <c r="H4" s="5" t="s">
        <v>23</v>
      </c>
      <c r="I4" s="2" t="s">
        <v>24</v>
      </c>
      <c r="J4" s="2" t="s">
        <v>25</v>
      </c>
      <c r="K4" s="4" t="s">
        <v>43</v>
      </c>
      <c r="L4" s="4" t="s">
        <v>44</v>
      </c>
      <c r="M4" s="2" t="s">
        <v>28</v>
      </c>
      <c r="N4" s="2" t="s">
        <v>29</v>
      </c>
      <c r="O4" s="3">
        <v>45772</v>
      </c>
      <c r="P4" s="2">
        <v>2.5</v>
      </c>
      <c r="Q4" s="4" t="s">
        <v>45</v>
      </c>
    </row>
    <row r="5" spans="1:17">
      <c r="A5" s="2" t="s">
        <v>46</v>
      </c>
      <c r="B5" s="3">
        <v>45765</v>
      </c>
      <c r="C5" s="2" t="s">
        <v>47</v>
      </c>
      <c r="D5" s="2" t="s">
        <v>48</v>
      </c>
      <c r="E5" s="4" t="s">
        <v>49</v>
      </c>
      <c r="F5" s="4" t="s">
        <v>50</v>
      </c>
      <c r="G5" s="2" t="s">
        <v>22</v>
      </c>
      <c r="H5" s="6" t="s">
        <v>51</v>
      </c>
      <c r="I5" s="2" t="s">
        <v>24</v>
      </c>
      <c r="J5" s="2" t="s">
        <v>25</v>
      </c>
      <c r="K5" s="4" t="s">
        <v>52</v>
      </c>
      <c r="L5" s="4" t="s">
        <v>53</v>
      </c>
      <c r="M5" s="2" t="s">
        <v>54</v>
      </c>
      <c r="N5" s="2" t="s">
        <v>29</v>
      </c>
      <c r="O5" s="3">
        <v>45779</v>
      </c>
      <c r="P5" s="2">
        <v>1.5</v>
      </c>
      <c r="Q5" s="4"/>
    </row>
    <row r="6" spans="1:17">
      <c r="A6" s="2" t="s">
        <v>55</v>
      </c>
      <c r="B6" s="3">
        <v>45769</v>
      </c>
      <c r="C6" s="2" t="s">
        <v>32</v>
      </c>
      <c r="D6" s="2" t="s">
        <v>56</v>
      </c>
      <c r="E6" s="4" t="s">
        <v>57</v>
      </c>
      <c r="F6" s="4" t="s">
        <v>58</v>
      </c>
      <c r="G6" s="2" t="s">
        <v>59</v>
      </c>
      <c r="H6" s="7" t="s">
        <v>60</v>
      </c>
      <c r="I6" s="2" t="s">
        <v>24</v>
      </c>
      <c r="J6" s="2" t="s">
        <v>61</v>
      </c>
      <c r="K6" s="4" t="s">
        <v>62</v>
      </c>
      <c r="L6" s="4" t="s">
        <v>63</v>
      </c>
      <c r="M6" s="2" t="s">
        <v>64</v>
      </c>
      <c r="N6" s="2" t="s">
        <v>29</v>
      </c>
      <c r="O6" s="3">
        <v>45787</v>
      </c>
      <c r="P6" s="2">
        <v>5</v>
      </c>
      <c r="Q6" s="4" t="s">
        <v>65</v>
      </c>
    </row>
    <row r="7" spans="1:17">
      <c r="A7" s="2" t="s">
        <v>66</v>
      </c>
      <c r="B7" s="3">
        <v>45775</v>
      </c>
      <c r="C7" s="2" t="s">
        <v>18</v>
      </c>
      <c r="D7" s="2" t="s">
        <v>19</v>
      </c>
      <c r="E7" s="4" t="s">
        <v>20</v>
      </c>
      <c r="F7" s="4" t="s">
        <v>67</v>
      </c>
      <c r="G7" s="2" t="s">
        <v>22</v>
      </c>
      <c r="H7" s="7" t="s">
        <v>60</v>
      </c>
      <c r="I7" s="2" t="s">
        <v>68</v>
      </c>
      <c r="J7" s="2" t="s">
        <v>25</v>
      </c>
      <c r="K7" s="4" t="s">
        <v>69</v>
      </c>
      <c r="L7" s="4" t="s">
        <v>70</v>
      </c>
      <c r="M7" s="2" t="s">
        <v>28</v>
      </c>
      <c r="N7" s="2" t="s">
        <v>29</v>
      </c>
      <c r="O7" s="3">
        <v>45797</v>
      </c>
      <c r="P7" s="2">
        <v>7</v>
      </c>
      <c r="Q7" s="4" t="s">
        <v>71</v>
      </c>
    </row>
    <row r="8" spans="1:17">
      <c r="A8" s="2" t="s">
        <v>72</v>
      </c>
      <c r="B8" s="3">
        <v>45779</v>
      </c>
      <c r="C8" s="2" t="s">
        <v>73</v>
      </c>
      <c r="D8" s="2" t="s">
        <v>74</v>
      </c>
      <c r="E8" s="4" t="s">
        <v>75</v>
      </c>
      <c r="F8" s="4" t="s">
        <v>76</v>
      </c>
      <c r="G8" s="2" t="s">
        <v>77</v>
      </c>
      <c r="H8" s="5" t="s">
        <v>23</v>
      </c>
      <c r="I8" s="2" t="s">
        <v>68</v>
      </c>
      <c r="J8" s="2" t="s">
        <v>61</v>
      </c>
      <c r="K8" s="4" t="s">
        <v>78</v>
      </c>
      <c r="L8" s="4" t="s">
        <v>79</v>
      </c>
      <c r="M8" s="2" t="s">
        <v>80</v>
      </c>
      <c r="N8" s="2" t="s">
        <v>29</v>
      </c>
      <c r="O8" s="3">
        <v>45795</v>
      </c>
      <c r="P8" s="2">
        <v>4</v>
      </c>
      <c r="Q8" s="4"/>
    </row>
    <row r="9" spans="1:17">
      <c r="A9" s="2" t="s">
        <v>81</v>
      </c>
      <c r="B9" s="3">
        <v>45785</v>
      </c>
      <c r="C9" s="2" t="s">
        <v>18</v>
      </c>
      <c r="D9" s="2" t="s">
        <v>33</v>
      </c>
      <c r="E9" s="4" t="s">
        <v>34</v>
      </c>
      <c r="F9" s="4" t="s">
        <v>82</v>
      </c>
      <c r="G9" s="2" t="s">
        <v>83</v>
      </c>
      <c r="H9" s="5" t="s">
        <v>23</v>
      </c>
      <c r="I9" s="2" t="s">
        <v>84</v>
      </c>
      <c r="J9" s="2" t="s">
        <v>25</v>
      </c>
      <c r="K9" s="4" t="s">
        <v>85</v>
      </c>
      <c r="L9" s="4" t="s">
        <v>86</v>
      </c>
      <c r="M9" s="2" t="s">
        <v>87</v>
      </c>
      <c r="N9" s="2" t="s">
        <v>29</v>
      </c>
      <c r="O9" s="3">
        <v>45802</v>
      </c>
      <c r="P9" s="2">
        <v>3</v>
      </c>
      <c r="Q9" s="4"/>
    </row>
    <row r="10" spans="1:17">
      <c r="A10" s="2" t="s">
        <v>88</v>
      </c>
      <c r="B10" s="3">
        <v>45791</v>
      </c>
      <c r="C10" s="2" t="s">
        <v>32</v>
      </c>
      <c r="D10" s="2" t="s">
        <v>19</v>
      </c>
      <c r="E10" s="4" t="s">
        <v>20</v>
      </c>
      <c r="F10" s="4" t="s">
        <v>89</v>
      </c>
      <c r="G10" s="2" t="s">
        <v>36</v>
      </c>
      <c r="H10" s="6" t="s">
        <v>51</v>
      </c>
      <c r="I10" s="2" t="s">
        <v>24</v>
      </c>
      <c r="J10" s="2" t="s">
        <v>37</v>
      </c>
      <c r="K10" s="4" t="s">
        <v>90</v>
      </c>
      <c r="L10" s="4" t="s">
        <v>91</v>
      </c>
      <c r="M10" s="2" t="s">
        <v>92</v>
      </c>
      <c r="N10" s="2" t="s">
        <v>29</v>
      </c>
      <c r="O10" s="3">
        <v>45805</v>
      </c>
      <c r="P10" s="2">
        <v>1</v>
      </c>
      <c r="Q10" s="4"/>
    </row>
    <row r="11" spans="1:17">
      <c r="A11" s="2" t="s">
        <v>93</v>
      </c>
      <c r="B11" s="3">
        <v>45797</v>
      </c>
      <c r="C11" s="2" t="s">
        <v>47</v>
      </c>
      <c r="D11" s="2" t="s">
        <v>48</v>
      </c>
      <c r="E11" s="4" t="s">
        <v>49</v>
      </c>
      <c r="F11" s="4" t="s">
        <v>94</v>
      </c>
      <c r="G11" s="2" t="s">
        <v>22</v>
      </c>
      <c r="H11" s="5" t="s">
        <v>23</v>
      </c>
      <c r="I11" s="2" t="s">
        <v>24</v>
      </c>
      <c r="J11" s="2" t="s">
        <v>25</v>
      </c>
      <c r="K11" s="4" t="s">
        <v>95</v>
      </c>
      <c r="L11" s="4" t="s">
        <v>96</v>
      </c>
      <c r="M11" s="2" t="s">
        <v>54</v>
      </c>
      <c r="N11" s="2" t="s">
        <v>29</v>
      </c>
      <c r="O11" s="3">
        <v>45813</v>
      </c>
      <c r="P11" s="2">
        <v>4</v>
      </c>
      <c r="Q11" s="4"/>
    </row>
    <row r="12" spans="1:17">
      <c r="A12" s="2" t="s">
        <v>97</v>
      </c>
      <c r="B12" s="3">
        <v>45802</v>
      </c>
      <c r="C12" s="2" t="s">
        <v>18</v>
      </c>
      <c r="D12" s="2" t="s">
        <v>56</v>
      </c>
      <c r="E12" s="4" t="s">
        <v>57</v>
      </c>
      <c r="F12" s="4" t="s">
        <v>98</v>
      </c>
      <c r="G12" s="2" t="s">
        <v>83</v>
      </c>
      <c r="H12" s="7" t="s">
        <v>60</v>
      </c>
      <c r="I12" s="2" t="s">
        <v>99</v>
      </c>
      <c r="J12" s="2" t="s">
        <v>37</v>
      </c>
      <c r="K12" s="4" t="s">
        <v>100</v>
      </c>
      <c r="L12" s="4" t="s">
        <v>101</v>
      </c>
      <c r="M12" s="2" t="s">
        <v>102</v>
      </c>
      <c r="N12" s="2" t="s">
        <v>29</v>
      </c>
      <c r="O12" s="3">
        <v>45823</v>
      </c>
      <c r="P12" s="2">
        <v>5</v>
      </c>
      <c r="Q12" s="4" t="s">
        <v>103</v>
      </c>
    </row>
    <row r="13" spans="1:17">
      <c r="A13" s="2" t="s">
        <v>104</v>
      </c>
      <c r="B13" s="3">
        <v>45809</v>
      </c>
      <c r="C13" s="2" t="s">
        <v>32</v>
      </c>
      <c r="D13" s="2" t="s">
        <v>33</v>
      </c>
      <c r="E13" s="4" t="s">
        <v>34</v>
      </c>
      <c r="F13" s="4" t="s">
        <v>105</v>
      </c>
      <c r="G13" s="2" t="s">
        <v>36</v>
      </c>
      <c r="H13" s="6" t="s">
        <v>51</v>
      </c>
      <c r="I13" s="2" t="s">
        <v>24</v>
      </c>
      <c r="J13" s="2" t="s">
        <v>106</v>
      </c>
      <c r="K13" s="4" t="s">
        <v>107</v>
      </c>
      <c r="L13" s="4" t="s">
        <v>108</v>
      </c>
      <c r="M13" s="2" t="s">
        <v>40</v>
      </c>
      <c r="N13" s="2" t="s">
        <v>29</v>
      </c>
      <c r="O13" s="3">
        <v>45826</v>
      </c>
      <c r="P13" s="2">
        <v>2</v>
      </c>
      <c r="Q13" s="4" t="s">
        <v>109</v>
      </c>
    </row>
    <row r="14" spans="1:17">
      <c r="A14" s="2" t="s">
        <v>110</v>
      </c>
      <c r="B14" s="3">
        <v>45813</v>
      </c>
      <c r="C14" s="2" t="s">
        <v>18</v>
      </c>
      <c r="D14" s="2" t="s">
        <v>19</v>
      </c>
      <c r="E14" s="4" t="s">
        <v>20</v>
      </c>
      <c r="F14" s="4" t="s">
        <v>111</v>
      </c>
      <c r="G14" s="2" t="s">
        <v>22</v>
      </c>
      <c r="H14" s="5" t="s">
        <v>23</v>
      </c>
      <c r="I14" s="2" t="s">
        <v>24</v>
      </c>
      <c r="J14" s="2" t="s">
        <v>25</v>
      </c>
      <c r="K14" s="4" t="s">
        <v>112</v>
      </c>
      <c r="L14" s="4" t="s">
        <v>113</v>
      </c>
      <c r="M14" s="2" t="s">
        <v>28</v>
      </c>
      <c r="N14" s="2" t="s">
        <v>29</v>
      </c>
      <c r="O14" s="3">
        <v>45830</v>
      </c>
      <c r="P14" s="2">
        <v>3.5</v>
      </c>
      <c r="Q14" s="4"/>
    </row>
    <row r="15" spans="1:17">
      <c r="A15" s="2" t="s">
        <v>114</v>
      </c>
      <c r="B15" s="3">
        <v>45820</v>
      </c>
      <c r="C15" s="2" t="s">
        <v>73</v>
      </c>
      <c r="D15" s="2" t="s">
        <v>74</v>
      </c>
      <c r="E15" s="4" t="s">
        <v>75</v>
      </c>
      <c r="F15" s="4" t="s">
        <v>115</v>
      </c>
      <c r="G15" s="2" t="s">
        <v>22</v>
      </c>
      <c r="H15" s="5" t="s">
        <v>23</v>
      </c>
      <c r="I15" s="2" t="s">
        <v>116</v>
      </c>
      <c r="J15" s="2" t="s">
        <v>25</v>
      </c>
      <c r="K15" s="4" t="s">
        <v>117</v>
      </c>
      <c r="L15" s="4" t="s">
        <v>118</v>
      </c>
      <c r="M15" s="2" t="s">
        <v>80</v>
      </c>
      <c r="N15" s="2" t="s">
        <v>29</v>
      </c>
      <c r="O15" s="3">
        <v>45836</v>
      </c>
      <c r="P15" s="2">
        <v>2.5</v>
      </c>
      <c r="Q15" s="4"/>
    </row>
    <row r="16" spans="1:17">
      <c r="A16" s="2" t="s">
        <v>119</v>
      </c>
      <c r="B16" s="3">
        <v>45826</v>
      </c>
      <c r="C16" s="2" t="s">
        <v>47</v>
      </c>
      <c r="D16" s="2" t="s">
        <v>48</v>
      </c>
      <c r="E16" s="4" t="s">
        <v>49</v>
      </c>
      <c r="F16" s="4" t="s">
        <v>120</v>
      </c>
      <c r="G16" s="2" t="s">
        <v>36</v>
      </c>
      <c r="H16" s="6" t="s">
        <v>51</v>
      </c>
      <c r="I16" s="2" t="s">
        <v>24</v>
      </c>
      <c r="J16" s="2" t="s">
        <v>25</v>
      </c>
      <c r="K16" s="4" t="s">
        <v>121</v>
      </c>
      <c r="L16" s="4" t="s">
        <v>122</v>
      </c>
      <c r="M16" s="2" t="s">
        <v>54</v>
      </c>
      <c r="N16" s="2" t="s">
        <v>29</v>
      </c>
      <c r="O16" s="3">
        <v>45839</v>
      </c>
      <c r="P16" s="2">
        <v>1</v>
      </c>
      <c r="Q16" s="4"/>
    </row>
    <row r="17" spans="1:17">
      <c r="A17" s="2" t="s">
        <v>123</v>
      </c>
      <c r="B17" s="3">
        <v>45833</v>
      </c>
      <c r="C17" s="2" t="s">
        <v>32</v>
      </c>
      <c r="D17" s="2" t="s">
        <v>19</v>
      </c>
      <c r="E17" s="4" t="s">
        <v>20</v>
      </c>
      <c r="F17" s="4" t="s">
        <v>124</v>
      </c>
      <c r="G17" s="2" t="s">
        <v>77</v>
      </c>
      <c r="H17" s="7" t="s">
        <v>60</v>
      </c>
      <c r="I17" s="2" t="s">
        <v>68</v>
      </c>
      <c r="J17" s="2" t="s">
        <v>61</v>
      </c>
      <c r="K17" s="4" t="s">
        <v>125</v>
      </c>
      <c r="L17" s="4" t="s">
        <v>126</v>
      </c>
      <c r="M17" s="2" t="s">
        <v>64</v>
      </c>
      <c r="N17" s="2" t="s">
        <v>29</v>
      </c>
      <c r="O17" s="3">
        <v>45853</v>
      </c>
      <c r="P17" s="2">
        <v>6</v>
      </c>
      <c r="Q17" s="4" t="s">
        <v>127</v>
      </c>
    </row>
    <row r="18" spans="1:17">
      <c r="A18" s="2" t="s">
        <v>128</v>
      </c>
      <c r="B18" s="3">
        <v>45840</v>
      </c>
      <c r="C18" s="2" t="s">
        <v>18</v>
      </c>
      <c r="D18" s="2" t="s">
        <v>33</v>
      </c>
      <c r="E18" s="4" t="s">
        <v>34</v>
      </c>
      <c r="F18" s="4" t="s">
        <v>129</v>
      </c>
      <c r="G18" s="2" t="s">
        <v>22</v>
      </c>
      <c r="H18" s="5" t="s">
        <v>23</v>
      </c>
      <c r="I18" s="2" t="s">
        <v>84</v>
      </c>
      <c r="J18" s="2" t="s">
        <v>25</v>
      </c>
      <c r="K18" s="4" t="s">
        <v>130</v>
      </c>
      <c r="L18" s="4" t="s">
        <v>131</v>
      </c>
      <c r="M18" s="2" t="s">
        <v>87</v>
      </c>
      <c r="N18" s="2" t="s">
        <v>29</v>
      </c>
      <c r="O18" s="3">
        <v>45856</v>
      </c>
      <c r="P18" s="2">
        <v>2</v>
      </c>
      <c r="Q18" s="4"/>
    </row>
    <row r="19" spans="1:17">
      <c r="A19" s="2" t="s">
        <v>132</v>
      </c>
      <c r="B19" s="3">
        <v>45846</v>
      </c>
      <c r="C19" s="2" t="s">
        <v>73</v>
      </c>
      <c r="D19" s="2" t="s">
        <v>74</v>
      </c>
      <c r="E19" s="4" t="s">
        <v>75</v>
      </c>
      <c r="F19" s="4" t="s">
        <v>133</v>
      </c>
      <c r="G19" s="2" t="s">
        <v>83</v>
      </c>
      <c r="H19" s="7" t="s">
        <v>60</v>
      </c>
      <c r="I19" s="2" t="s">
        <v>116</v>
      </c>
      <c r="J19" s="2" t="s">
        <v>61</v>
      </c>
      <c r="K19" s="4" t="s">
        <v>134</v>
      </c>
      <c r="L19" s="4" t="s">
        <v>135</v>
      </c>
      <c r="M19" s="2" t="s">
        <v>80</v>
      </c>
      <c r="N19" s="2" t="s">
        <v>29</v>
      </c>
      <c r="O19" s="3">
        <v>45866</v>
      </c>
      <c r="P19" s="2">
        <v>5</v>
      </c>
      <c r="Q19" s="4" t="s">
        <v>136</v>
      </c>
    </row>
    <row r="20" spans="1:17">
      <c r="A20" s="2" t="s">
        <v>137</v>
      </c>
      <c r="B20" s="3">
        <v>45853</v>
      </c>
      <c r="C20" s="2" t="s">
        <v>18</v>
      </c>
      <c r="D20" s="2" t="s">
        <v>19</v>
      </c>
      <c r="E20" s="4" t="s">
        <v>20</v>
      </c>
      <c r="F20" s="4" t="s">
        <v>138</v>
      </c>
      <c r="G20" s="2" t="s">
        <v>22</v>
      </c>
      <c r="H20" s="6" t="s">
        <v>51</v>
      </c>
      <c r="I20" s="2" t="s">
        <v>24</v>
      </c>
      <c r="J20" s="2" t="s">
        <v>25</v>
      </c>
      <c r="K20" s="4" t="s">
        <v>139</v>
      </c>
      <c r="L20" s="4" t="s">
        <v>140</v>
      </c>
      <c r="M20" s="2" t="s">
        <v>28</v>
      </c>
      <c r="N20" s="2" t="s">
        <v>29</v>
      </c>
      <c r="O20" s="3">
        <v>45866</v>
      </c>
      <c r="P20" s="2">
        <v>1.5</v>
      </c>
      <c r="Q20" s="4" t="s">
        <v>141</v>
      </c>
    </row>
    <row r="21" spans="1:17">
      <c r="A21" s="2" t="s">
        <v>142</v>
      </c>
      <c r="B21" s="3">
        <v>45860</v>
      </c>
      <c r="C21" s="2" t="s">
        <v>47</v>
      </c>
      <c r="D21" s="2" t="s">
        <v>48</v>
      </c>
      <c r="E21" s="4" t="s">
        <v>49</v>
      </c>
      <c r="F21" s="4" t="s">
        <v>143</v>
      </c>
      <c r="G21" s="2" t="s">
        <v>22</v>
      </c>
      <c r="H21" s="5" t="s">
        <v>23</v>
      </c>
      <c r="I21" s="2" t="s">
        <v>24</v>
      </c>
      <c r="J21" s="2" t="s">
        <v>25</v>
      </c>
      <c r="K21" s="4" t="s">
        <v>144</v>
      </c>
      <c r="L21" s="4" t="s">
        <v>145</v>
      </c>
      <c r="M21" s="2" t="s">
        <v>54</v>
      </c>
      <c r="N21" s="2" t="s">
        <v>146</v>
      </c>
      <c r="O21" s="4"/>
      <c r="P21" s="2">
        <v>3</v>
      </c>
      <c r="Q21" s="4" t="s">
        <v>147</v>
      </c>
    </row>
    <row r="22" spans="1:17">
      <c r="A22" s="2" t="s">
        <v>148</v>
      </c>
      <c r="B22" s="3">
        <v>45866</v>
      </c>
      <c r="C22" s="2" t="s">
        <v>32</v>
      </c>
      <c r="D22" s="2" t="s">
        <v>56</v>
      </c>
      <c r="E22" s="4" t="s">
        <v>57</v>
      </c>
      <c r="F22" s="4" t="s">
        <v>149</v>
      </c>
      <c r="G22" s="2" t="s">
        <v>59</v>
      </c>
      <c r="H22" s="5" t="s">
        <v>23</v>
      </c>
      <c r="I22" s="2" t="s">
        <v>24</v>
      </c>
      <c r="J22" s="2" t="s">
        <v>150</v>
      </c>
      <c r="K22" s="4" t="s">
        <v>151</v>
      </c>
      <c r="L22" s="4" t="s">
        <v>152</v>
      </c>
      <c r="M22" s="2" t="s">
        <v>64</v>
      </c>
      <c r="N22" s="2" t="s">
        <v>153</v>
      </c>
      <c r="O22" s="4"/>
      <c r="P22" s="2">
        <v>4.5</v>
      </c>
      <c r="Q22" s="4" t="s">
        <v>154</v>
      </c>
    </row>
    <row r="23" spans="1:17">
      <c r="A23" s="2" t="s">
        <v>155</v>
      </c>
      <c r="B23" s="3">
        <v>45873</v>
      </c>
      <c r="C23" s="2" t="s">
        <v>18</v>
      </c>
      <c r="D23" s="2" t="s">
        <v>33</v>
      </c>
      <c r="E23" s="4" t="s">
        <v>34</v>
      </c>
      <c r="F23" s="4" t="s">
        <v>156</v>
      </c>
      <c r="G23" s="2" t="s">
        <v>22</v>
      </c>
      <c r="H23" s="5" t="s">
        <v>23</v>
      </c>
      <c r="I23" s="2" t="s">
        <v>84</v>
      </c>
      <c r="J23" s="2" t="s">
        <v>37</v>
      </c>
      <c r="K23" s="4" t="s">
        <v>157</v>
      </c>
      <c r="L23" s="4" t="s">
        <v>158</v>
      </c>
      <c r="M23" s="2" t="s">
        <v>92</v>
      </c>
      <c r="N23" s="2" t="s">
        <v>29</v>
      </c>
      <c r="O23" s="3">
        <v>45889</v>
      </c>
      <c r="P23" s="2">
        <v>2</v>
      </c>
      <c r="Q23" s="4"/>
    </row>
    <row r="24" spans="1:17">
      <c r="A24" s="2" t="s">
        <v>159</v>
      </c>
      <c r="B24" s="3">
        <v>45879</v>
      </c>
      <c r="C24" s="2" t="s">
        <v>73</v>
      </c>
      <c r="D24" s="2" t="s">
        <v>74</v>
      </c>
      <c r="E24" s="4" t="s">
        <v>75</v>
      </c>
      <c r="F24" s="4" t="s">
        <v>160</v>
      </c>
      <c r="G24" s="2" t="s">
        <v>77</v>
      </c>
      <c r="H24" s="7" t="s">
        <v>60</v>
      </c>
      <c r="I24" s="2" t="s">
        <v>68</v>
      </c>
      <c r="J24" s="2" t="s">
        <v>61</v>
      </c>
      <c r="K24" s="4" t="s">
        <v>161</v>
      </c>
      <c r="L24" s="4" t="s">
        <v>162</v>
      </c>
      <c r="M24" s="2" t="s">
        <v>80</v>
      </c>
      <c r="N24" s="2" t="s">
        <v>29</v>
      </c>
      <c r="O24" s="3">
        <v>45897</v>
      </c>
      <c r="P24" s="2">
        <v>5.5</v>
      </c>
      <c r="Q24" s="4" t="s">
        <v>163</v>
      </c>
    </row>
    <row r="25" spans="1:17">
      <c r="A25" s="2" t="s">
        <v>164</v>
      </c>
      <c r="B25" s="3">
        <v>45887</v>
      </c>
      <c r="C25" s="2" t="s">
        <v>32</v>
      </c>
      <c r="D25" s="2" t="s">
        <v>19</v>
      </c>
      <c r="E25" s="4" t="s">
        <v>20</v>
      </c>
      <c r="F25" s="4" t="s">
        <v>165</v>
      </c>
      <c r="G25" s="2" t="s">
        <v>36</v>
      </c>
      <c r="H25" s="6" t="s">
        <v>51</v>
      </c>
      <c r="I25" s="2" t="s">
        <v>116</v>
      </c>
      <c r="J25" s="2" t="s">
        <v>106</v>
      </c>
      <c r="K25" s="4" t="s">
        <v>166</v>
      </c>
      <c r="L25" s="4" t="s">
        <v>167</v>
      </c>
      <c r="M25" s="2" t="s">
        <v>40</v>
      </c>
      <c r="N25" s="2" t="s">
        <v>29</v>
      </c>
      <c r="O25" s="3">
        <v>45901</v>
      </c>
      <c r="P25" s="2">
        <v>2</v>
      </c>
      <c r="Q25" s="4"/>
    </row>
    <row r="26" spans="1:17">
      <c r="A26" s="2" t="s">
        <v>168</v>
      </c>
      <c r="B26" s="3">
        <v>45894</v>
      </c>
      <c r="C26" s="2" t="s">
        <v>47</v>
      </c>
      <c r="D26" s="2" t="s">
        <v>48</v>
      </c>
      <c r="E26" s="4" t="s">
        <v>49</v>
      </c>
      <c r="F26" s="4" t="s">
        <v>169</v>
      </c>
      <c r="G26" s="2" t="s">
        <v>170</v>
      </c>
      <c r="H26" s="6" t="s">
        <v>51</v>
      </c>
      <c r="I26" s="2" t="s">
        <v>116</v>
      </c>
      <c r="J26" s="2" t="s">
        <v>106</v>
      </c>
      <c r="K26" s="4" t="s">
        <v>171</v>
      </c>
      <c r="L26" s="4" t="s">
        <v>172</v>
      </c>
      <c r="M26" s="2" t="s">
        <v>54</v>
      </c>
      <c r="N26" s="2" t="s">
        <v>29</v>
      </c>
      <c r="O26" s="3">
        <v>45908</v>
      </c>
      <c r="P26" s="2">
        <v>1.5</v>
      </c>
      <c r="Q26" s="4" t="s">
        <v>173</v>
      </c>
    </row>
    <row r="27" spans="1:17">
      <c r="A27" s="2" t="s">
        <v>174</v>
      </c>
      <c r="B27" s="3">
        <v>45901</v>
      </c>
      <c r="C27" s="2" t="s">
        <v>18</v>
      </c>
      <c r="D27" s="2" t="s">
        <v>19</v>
      </c>
      <c r="E27" s="4" t="s">
        <v>20</v>
      </c>
      <c r="F27" s="4" t="s">
        <v>175</v>
      </c>
      <c r="G27" s="2" t="s">
        <v>22</v>
      </c>
      <c r="H27" s="6" t="s">
        <v>51</v>
      </c>
      <c r="I27" s="2" t="s">
        <v>24</v>
      </c>
      <c r="J27" s="2" t="s">
        <v>25</v>
      </c>
      <c r="K27" s="4" t="s">
        <v>176</v>
      </c>
      <c r="L27" s="4" t="s">
        <v>177</v>
      </c>
      <c r="M27" s="2" t="s">
        <v>28</v>
      </c>
      <c r="N27" s="2" t="s">
        <v>29</v>
      </c>
      <c r="O27" s="3">
        <v>45912</v>
      </c>
      <c r="P27" s="2">
        <v>2</v>
      </c>
      <c r="Q27" s="4" t="s">
        <v>178</v>
      </c>
    </row>
    <row r="28" spans="1:17">
      <c r="A28" s="2" t="s">
        <v>179</v>
      </c>
      <c r="B28" s="3">
        <v>45905</v>
      </c>
      <c r="C28" s="2" t="s">
        <v>32</v>
      </c>
      <c r="D28" s="2" t="s">
        <v>56</v>
      </c>
      <c r="E28" s="4" t="s">
        <v>57</v>
      </c>
      <c r="F28" s="4" t="s">
        <v>180</v>
      </c>
      <c r="G28" s="2" t="s">
        <v>36</v>
      </c>
      <c r="H28" s="6" t="s">
        <v>51</v>
      </c>
      <c r="I28" s="2" t="s">
        <v>99</v>
      </c>
      <c r="J28" s="2" t="s">
        <v>37</v>
      </c>
      <c r="K28" s="4" t="s">
        <v>181</v>
      </c>
      <c r="L28" s="4" t="s">
        <v>182</v>
      </c>
      <c r="M28" s="2" t="s">
        <v>102</v>
      </c>
      <c r="N28" s="2" t="s">
        <v>29</v>
      </c>
      <c r="O28" s="3">
        <v>45915</v>
      </c>
      <c r="P28" s="2">
        <v>0.5</v>
      </c>
      <c r="Q28" s="4"/>
    </row>
    <row r="29" spans="1:17">
      <c r="A29" s="2" t="s">
        <v>183</v>
      </c>
      <c r="B29" s="3">
        <v>45912</v>
      </c>
      <c r="C29" s="2" t="s">
        <v>73</v>
      </c>
      <c r="D29" s="2" t="s">
        <v>74</v>
      </c>
      <c r="E29" s="4" t="s">
        <v>75</v>
      </c>
      <c r="F29" s="4" t="s">
        <v>184</v>
      </c>
      <c r="G29" s="2" t="s">
        <v>22</v>
      </c>
      <c r="H29" s="6" t="s">
        <v>51</v>
      </c>
      <c r="I29" s="2" t="s">
        <v>24</v>
      </c>
      <c r="J29" s="2" t="s">
        <v>25</v>
      </c>
      <c r="K29" s="4" t="s">
        <v>185</v>
      </c>
      <c r="L29" s="4" t="s">
        <v>186</v>
      </c>
      <c r="M29" s="2" t="s">
        <v>80</v>
      </c>
      <c r="N29" s="2" t="s">
        <v>29</v>
      </c>
      <c r="O29" s="3">
        <v>45922</v>
      </c>
      <c r="P29" s="2">
        <v>1</v>
      </c>
      <c r="Q29" s="4"/>
    </row>
    <row r="30" spans="1:17">
      <c r="A30" s="2" t="s">
        <v>187</v>
      </c>
      <c r="B30" s="3">
        <v>45918</v>
      </c>
      <c r="C30" s="2" t="s">
        <v>18</v>
      </c>
      <c r="D30" s="2" t="s">
        <v>33</v>
      </c>
      <c r="E30" s="4" t="s">
        <v>34</v>
      </c>
      <c r="F30" s="4" t="s">
        <v>188</v>
      </c>
      <c r="G30" s="2" t="s">
        <v>22</v>
      </c>
      <c r="H30" s="5" t="s">
        <v>23</v>
      </c>
      <c r="I30" s="2" t="s">
        <v>84</v>
      </c>
      <c r="J30" s="2" t="s">
        <v>25</v>
      </c>
      <c r="K30" s="4" t="s">
        <v>189</v>
      </c>
      <c r="L30" s="4" t="s">
        <v>190</v>
      </c>
      <c r="M30" s="2" t="s">
        <v>87</v>
      </c>
      <c r="N30" s="2" t="s">
        <v>191</v>
      </c>
      <c r="O30" s="4"/>
      <c r="P30" s="2">
        <v>3.5</v>
      </c>
      <c r="Q30" s="4" t="s">
        <v>192</v>
      </c>
    </row>
    <row r="31" spans="1:17">
      <c r="A31" s="2" t="s">
        <v>193</v>
      </c>
      <c r="B31" s="3">
        <v>45925</v>
      </c>
      <c r="C31" s="2" t="s">
        <v>47</v>
      </c>
      <c r="D31" s="2" t="s">
        <v>19</v>
      </c>
      <c r="E31" s="4" t="s">
        <v>20</v>
      </c>
      <c r="F31" s="4" t="s">
        <v>194</v>
      </c>
      <c r="G31" s="2" t="s">
        <v>22</v>
      </c>
      <c r="H31" s="5" t="s">
        <v>23</v>
      </c>
      <c r="I31" s="2" t="s">
        <v>24</v>
      </c>
      <c r="J31" s="2" t="s">
        <v>25</v>
      </c>
      <c r="K31" s="4" t="s">
        <v>195</v>
      </c>
      <c r="L31" s="4" t="s">
        <v>196</v>
      </c>
      <c r="M31" s="2" t="s">
        <v>28</v>
      </c>
      <c r="N31" s="2" t="s">
        <v>191</v>
      </c>
      <c r="O31" s="4"/>
      <c r="P31" s="2">
        <v>4</v>
      </c>
      <c r="Q31" s="4" t="s">
        <v>197</v>
      </c>
    </row>
  </sheetData>
  <autoFilter ref="A1:Q3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"/>
  <sheetViews>
    <sheetView workbookViewId="0"/>
  </sheetViews>
  <sheetFormatPr defaultRowHeight="15"/>
  <cols>
    <col min="1" max="1" width="20" customWidth="1"/>
    <col min="2" max="3" width="12" customWidth="1"/>
  </cols>
  <sheetData>
    <row r="1" spans="1:5">
      <c r="A1" s="18" t="s">
        <v>198</v>
      </c>
      <c r="B1" s="19"/>
      <c r="C1" s="19"/>
      <c r="D1" s="19"/>
      <c r="E1" s="19"/>
    </row>
    <row r="3" spans="1:5">
      <c r="A3" s="20" t="s">
        <v>199</v>
      </c>
      <c r="B3" s="19"/>
      <c r="C3" s="19"/>
    </row>
    <row r="4" spans="1:5">
      <c r="A4" s="8" t="s">
        <v>200</v>
      </c>
      <c r="B4" s="8" t="s">
        <v>201</v>
      </c>
      <c r="C4" s="8" t="s">
        <v>202</v>
      </c>
    </row>
    <row r="5" spans="1:5">
      <c r="A5" s="9" t="s">
        <v>203</v>
      </c>
      <c r="B5" s="9">
        <f>COUNTIFS('2025年4月〜9月'!B2:B31,"&gt;="&amp;DATE(2025,4,1),'2025年4月〜9月'!B2:B31,"&lt;"&amp;DATE(2025,5,1))</f>
        <v>6</v>
      </c>
      <c r="C5" s="9">
        <f>B5</f>
        <v>6</v>
      </c>
    </row>
    <row r="6" spans="1:5">
      <c r="A6" s="9" t="s">
        <v>204</v>
      </c>
      <c r="B6" s="9">
        <f>COUNTIFS('2025年4月〜9月'!B2:B31,"&gt;="&amp;DATE(2025,5,1),'2025年4月〜9月'!B2:B31,"&lt;"&amp;DATE(2025,6,1))</f>
        <v>5</v>
      </c>
      <c r="C6" s="9">
        <f>C5+B6</f>
        <v>11</v>
      </c>
    </row>
    <row r="7" spans="1:5">
      <c r="A7" s="9" t="s">
        <v>205</v>
      </c>
      <c r="B7" s="9">
        <f>COUNTIFS('2025年4月〜9月'!B2:B31,"&gt;="&amp;DATE(2025,6,1),'2025年4月〜9月'!B2:B31,"&lt;"&amp;DATE(2025,7,1))</f>
        <v>5</v>
      </c>
      <c r="C7" s="9">
        <f>C6+B7</f>
        <v>16</v>
      </c>
    </row>
    <row r="8" spans="1:5">
      <c r="A8" s="9" t="s">
        <v>206</v>
      </c>
      <c r="B8" s="9">
        <f>COUNTIFS('2025年4月〜9月'!B2:B31,"&gt;="&amp;DATE(2025,7,1),'2025年4月〜9月'!B2:B31,"&lt;"&amp;DATE(2025,8,1))</f>
        <v>5</v>
      </c>
      <c r="C8" s="9">
        <f>C7+B8</f>
        <v>21</v>
      </c>
    </row>
    <row r="9" spans="1:5">
      <c r="A9" s="9" t="s">
        <v>207</v>
      </c>
      <c r="B9" s="9">
        <f>COUNTIFS('2025年4月〜9月'!B2:B31,"&gt;="&amp;DATE(2025,8,1),'2025年4月〜9月'!B2:B31,"&lt;"&amp;DATE(2025,9,1))</f>
        <v>4</v>
      </c>
      <c r="C9" s="9">
        <f>C8+B9</f>
        <v>25</v>
      </c>
    </row>
    <row r="10" spans="1:5">
      <c r="A10" s="9" t="s">
        <v>208</v>
      </c>
      <c r="B10" s="9">
        <f>COUNTIFS('2025年4月〜9月'!B2:B31,"&gt;="&amp;DATE(2025,9,1),'2025年4月〜9月'!B2:B31,"&lt;"&amp;DATE(2025,10,1))</f>
        <v>5</v>
      </c>
      <c r="C10" s="9">
        <f>C9+B10</f>
        <v>30</v>
      </c>
    </row>
    <row r="11" spans="1:5">
      <c r="A11" s="10" t="s">
        <v>209</v>
      </c>
      <c r="B11" s="10">
        <f>SUM(B5:B10)</f>
        <v>30</v>
      </c>
      <c r="C11" s="11"/>
    </row>
    <row r="13" spans="1:5">
      <c r="A13" s="20" t="s">
        <v>210</v>
      </c>
      <c r="B13" s="19"/>
      <c r="C13" s="19"/>
    </row>
    <row r="14" spans="1:5">
      <c r="A14" s="8" t="s">
        <v>6</v>
      </c>
      <c r="B14" s="8" t="s">
        <v>201</v>
      </c>
      <c r="C14" s="8" t="s">
        <v>211</v>
      </c>
    </row>
    <row r="15" spans="1:5">
      <c r="A15" s="9" t="s">
        <v>22</v>
      </c>
      <c r="B15" s="9">
        <f>COUNTIF('2025年4月〜9月'!G2:G31,A15)</f>
        <v>15</v>
      </c>
      <c r="C15" s="12">
        <f>IF(B11=0,0,B15/B11)</f>
        <v>0.5</v>
      </c>
    </row>
    <row r="16" spans="1:5">
      <c r="A16" s="9" t="s">
        <v>36</v>
      </c>
      <c r="B16" s="9">
        <f>COUNTIF('2025年4月〜9月'!G2:G31,A16)</f>
        <v>6</v>
      </c>
      <c r="C16" s="12">
        <f>IF(B11=0,0,B16/B11)</f>
        <v>0.2</v>
      </c>
    </row>
    <row r="17" spans="1:3">
      <c r="A17" s="9" t="s">
        <v>77</v>
      </c>
      <c r="B17" s="9">
        <f>COUNTIF('2025年4月〜9月'!G2:G31,A17)</f>
        <v>3</v>
      </c>
      <c r="C17" s="12">
        <f>IF(B11=0,0,B17/B11)</f>
        <v>0.1</v>
      </c>
    </row>
    <row r="18" spans="1:3">
      <c r="A18" s="9" t="s">
        <v>83</v>
      </c>
      <c r="B18" s="9">
        <f>COUNTIF('2025年4月〜9月'!G2:G31,A18)</f>
        <v>3</v>
      </c>
      <c r="C18" s="12">
        <f>IF(B11=0,0,B18/B11)</f>
        <v>0.1</v>
      </c>
    </row>
    <row r="19" spans="1:3">
      <c r="A19" s="9" t="s">
        <v>59</v>
      </c>
      <c r="B19" s="9">
        <f>COUNTIF('2025年4月〜9月'!G2:G31,A19)</f>
        <v>2</v>
      </c>
      <c r="C19" s="12">
        <f>IF(B11=0,0,B19/B11)</f>
        <v>6.6666666666666666E-2</v>
      </c>
    </row>
    <row r="20" spans="1:3">
      <c r="A20" s="9" t="s">
        <v>170</v>
      </c>
      <c r="B20" s="9">
        <f>COUNTIF('2025年4月〜9月'!G2:G31,A20)</f>
        <v>1</v>
      </c>
      <c r="C20" s="12">
        <f>IF(B11=0,0,B20/B11)</f>
        <v>3.3333333333333333E-2</v>
      </c>
    </row>
    <row r="21" spans="1:3">
      <c r="A21" s="10" t="s">
        <v>209</v>
      </c>
      <c r="B21" s="10">
        <f>SUM(B15:B20)</f>
        <v>30</v>
      </c>
      <c r="C21" s="13">
        <f>SUM(C15:C20)</f>
        <v>0.99999999999999989</v>
      </c>
    </row>
    <row r="23" spans="1:3">
      <c r="A23" s="20" t="s">
        <v>212</v>
      </c>
      <c r="B23" s="19"/>
      <c r="C23" s="19"/>
    </row>
    <row r="24" spans="1:3">
      <c r="A24" s="8" t="s">
        <v>7</v>
      </c>
      <c r="B24" s="8" t="s">
        <v>201</v>
      </c>
      <c r="C24" s="8" t="s">
        <v>211</v>
      </c>
    </row>
    <row r="25" spans="1:3">
      <c r="A25" s="14" t="s">
        <v>213</v>
      </c>
      <c r="B25" s="9">
        <f>COUNTIF('2025年4月〜9月'!H2:H31,"A")</f>
        <v>6</v>
      </c>
      <c r="C25" s="12">
        <f>IF(B11=0,0,B25/B11)</f>
        <v>0.2</v>
      </c>
    </row>
    <row r="26" spans="1:3">
      <c r="A26" s="15" t="s">
        <v>214</v>
      </c>
      <c r="B26" s="9">
        <f>COUNTIF('2025年4月〜9月'!H2:H31,"B")</f>
        <v>14</v>
      </c>
      <c r="C26" s="12">
        <f>IF(B11=0,0,B26/B11)</f>
        <v>0.46666666666666667</v>
      </c>
    </row>
    <row r="27" spans="1:3">
      <c r="A27" s="16" t="s">
        <v>215</v>
      </c>
      <c r="B27" s="9">
        <f>COUNTIF('2025年4月〜9月'!H2:H31,"C")</f>
        <v>10</v>
      </c>
      <c r="C27" s="12">
        <f>IF(B11=0,0,B27/B11)</f>
        <v>0.33333333333333331</v>
      </c>
    </row>
    <row r="29" spans="1:3">
      <c r="A29" s="20" t="s">
        <v>216</v>
      </c>
      <c r="B29" s="19"/>
      <c r="C29" s="19"/>
    </row>
    <row r="30" spans="1:3">
      <c r="A30" s="8" t="s">
        <v>2</v>
      </c>
      <c r="B30" s="8" t="s">
        <v>201</v>
      </c>
      <c r="C30" s="8" t="s">
        <v>211</v>
      </c>
    </row>
    <row r="31" spans="1:3">
      <c r="A31" s="9" t="s">
        <v>18</v>
      </c>
      <c r="B31" s="9">
        <f>COUNTIF('2025年4月〜9月'!C2:C31,A31)</f>
        <v>11</v>
      </c>
      <c r="C31" s="12">
        <f>IF(B11=0,0,B31/B11)</f>
        <v>0.36666666666666664</v>
      </c>
    </row>
    <row r="32" spans="1:3">
      <c r="A32" s="9" t="s">
        <v>32</v>
      </c>
      <c r="B32" s="9">
        <f>COUNTIF('2025年4月〜9月'!C2:C31,A32)</f>
        <v>8</v>
      </c>
      <c r="C32" s="12">
        <f>IF(B11=0,0,B32/B11)</f>
        <v>0.26666666666666666</v>
      </c>
    </row>
    <row r="33" spans="1:3">
      <c r="A33" s="9" t="s">
        <v>47</v>
      </c>
      <c r="B33" s="9">
        <f>COUNTIF('2025年4月〜9月'!C2:C31,A33)</f>
        <v>6</v>
      </c>
      <c r="C33" s="12">
        <f>IF(B11=0,0,B33/B11)</f>
        <v>0.2</v>
      </c>
    </row>
    <row r="34" spans="1:3">
      <c r="A34" s="9" t="s">
        <v>73</v>
      </c>
      <c r="B34" s="9">
        <f>COUNTIF('2025年4月〜9月'!C2:C31,A34)</f>
        <v>5</v>
      </c>
      <c r="C34" s="12">
        <f>IF(B11=0,0,B34/B11)</f>
        <v>0.16666666666666666</v>
      </c>
    </row>
    <row r="36" spans="1:3">
      <c r="A36" s="20" t="s">
        <v>217</v>
      </c>
      <c r="B36" s="19"/>
      <c r="C36" s="19"/>
    </row>
    <row r="37" spans="1:3">
      <c r="A37" s="8" t="s">
        <v>218</v>
      </c>
      <c r="B37" s="8" t="s">
        <v>219</v>
      </c>
    </row>
    <row r="38" spans="1:3">
      <c r="A38" s="9" t="s">
        <v>220</v>
      </c>
      <c r="B38" s="17">
        <f>AVERAGE('2025年4月〜9月'!P2:P31)</f>
        <v>3.0333333333333332</v>
      </c>
    </row>
    <row r="39" spans="1:3">
      <c r="A39" s="9" t="s">
        <v>221</v>
      </c>
      <c r="B39" s="17">
        <f>MAX('2025年4月〜9月'!P2:P31)</f>
        <v>7</v>
      </c>
    </row>
    <row r="40" spans="1:3">
      <c r="A40" s="9" t="s">
        <v>222</v>
      </c>
      <c r="B40" s="17">
        <f>MIN('2025年4月〜9月'!P2:P31)</f>
        <v>0.5</v>
      </c>
    </row>
    <row r="41" spans="1:3">
      <c r="A41" s="9" t="s">
        <v>223</v>
      </c>
      <c r="B41" s="17">
        <f>MEDIAN('2025年4月〜9月'!P2:P31)</f>
        <v>2.75</v>
      </c>
    </row>
  </sheetData>
  <mergeCells count="6">
    <mergeCell ref="A13:C13"/>
    <mergeCell ref="A36:C36"/>
    <mergeCell ref="A23:C23"/>
    <mergeCell ref="A1:E1"/>
    <mergeCell ref="A3:C3"/>
    <mergeCell ref="A29:C29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Akira Inoue</cp:lastModifiedBy>
  <cp:revision/>
  <dcterms:created xsi:type="dcterms:W3CDTF">2026-04-09T08:18:17Z</dcterms:created>
  <dcterms:modified xsi:type="dcterms:W3CDTF">2026-04-09T08:33:13Z</dcterms:modified>
  <cp:category/>
  <cp:contentStatus/>
</cp:coreProperties>
</file>